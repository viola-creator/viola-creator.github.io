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est Plan" sheetId="2" state="visible" r:id="rId4"/>
    <sheet name="Summary" sheetId="3" state="visible" r:id="rId5"/>
    <sheet name="Bugs" sheetId="4" state="visible" r:id="rId6"/>
    <sheet name="Sign Off"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<sst xmlns="http://schemas.openxmlformats.org/spreadsheetml/2006/main" count="310" uniqueCount="213">
  <si>
    <t xml:space="preserve">Maana Booking Launch: Test Tracker</t>
  </si>
  <si>
    <t xml:space="preserve">Owner: Viola. CTO: Sol. Last updated when you save.</t>
  </si>
  <si>
    <t xml:space="preserve">How to use this tracker</t>
  </si>
  <si>
    <t xml:space="preserve">Each test case lives on the Test Plan sheet. Run a case, fill the Result column (Pass / Fail / Blocked / Skipped), drop notes if anything surprised you. Severities for issues live on the Bugs sheet.</t>
  </si>
  <si>
    <t xml:space="preserve">Phases mirror Sol's 4 step plan. Phase 1 is UI smoke on the preview site with no Acuity wiring. Phase 2 is full integration on preview with a fake Stripe card (4242). Phase 3 swaps to real cards on preview. Phase 4 is the production launch run.</t>
  </si>
  <si>
    <t xml:space="preserve">Tester split</t>
  </si>
  <si>
    <t xml:space="preserve">Two testers (T1 and T2). For canonical happy paths and production launch tests, both testers run the same case independently so we catch reproducibility issues. For variants like discount codes, cancellation, mobile, edge cases, we split to widen coverage. The Tester column on Test Plan tells you what to pick up.</t>
  </si>
  <si>
    <t xml:space="preserve">Scope of this test pass</t>
  </si>
  <si>
    <t xml:space="preserve">Workshops: Earthen Wall first as the canonical page. The other three (Tea Dye, Botanical Teas, Koji) share the same template, so we smoke test them lightly once Earthen Wall is clean.</t>
  </si>
  <si>
    <t xml:space="preserve">Excursion: Tea Ceremony smoke test via the hybrid Acuity portal path. This is to confirm the Join the Ceremony button still routes cleanly and the booking lands in Acuity.</t>
  </si>
  <si>
    <t xml:space="preserve">Booking dates: tomorrow (just past our 24 hour cutoff, tests the close in edge) and Saturday (when excursion availability is live).</t>
  </si>
  <si>
    <t xml:space="preserve">Discount code: UNICORNS100. Sol is shipping a confirmation screen that shows the code applied, the final price, and how much was saved.</t>
  </si>
  <si>
    <t xml:space="preserve">Fallback: if Stripe times out or the in app flow hits a weird state, we redirect the guest to the Acuity portal so they can complete the booking. Test this on purpose in Phase 2.</t>
  </si>
  <si>
    <t xml:space="preserve">Result legend</t>
  </si>
  <si>
    <t xml:space="preserve">Pass</t>
  </si>
  <si>
    <t xml:space="preserve">Worked end to end, matches expected behaviour.</t>
  </si>
  <si>
    <t xml:space="preserve">Fail</t>
  </si>
  <si>
    <t xml:space="preserve">Did not match expected behaviour. Log it on the Bugs sheet.</t>
  </si>
  <si>
    <t xml:space="preserve">Blocked</t>
  </si>
  <si>
    <t xml:space="preserve">Could not run, prerequisite missing. Note what is blocking.</t>
  </si>
  <si>
    <t xml:space="preserve">Skipped</t>
  </si>
  <si>
    <t xml:space="preserve">Intentionally not run this round. Note why.</t>
  </si>
  <si>
    <t xml:space="preserve">Go / no go</t>
  </si>
  <si>
    <t xml:space="preserve">Use the Sign Off sheet at the end. Launch is green when all Phase 4 cases pass and no Sev 1 or Sev 2 bugs are open.</t>
  </si>
  <si>
    <t xml:space="preserve">Test Plan</t>
  </si>
  <si>
    <t xml:space="preserve">Run cases top to bottom. Fill Result with Pass / Fail / Blocked / Skipped. If Fail, add a row on the Bugs sheet and put the Bug ID here.</t>
  </si>
  <si>
    <t xml:space="preserve">ID</t>
  </si>
  <si>
    <t xml:space="preserve">Phase</t>
  </si>
  <si>
    <t xml:space="preserve">Environment</t>
  </si>
  <si>
    <t xml:space="preserve">Path / Flow</t>
  </si>
  <si>
    <t xml:space="preserve">Test Case</t>
  </si>
  <si>
    <t xml:space="preserve">Steps / Setup</t>
  </si>
  <si>
    <t xml:space="preserve">Expected Result</t>
  </si>
  <si>
    <t xml:space="preserve">Tester</t>
  </si>
  <si>
    <t xml:space="preserve">Date Run</t>
  </si>
  <si>
    <t xml:space="preserve">Result</t>
  </si>
  <si>
    <t xml:space="preserve">Notes / Bug ID</t>
  </si>
  <si>
    <t xml:space="preserve">TC1.1</t>
  </si>
  <si>
    <t xml:space="preserve">1</t>
  </si>
  <si>
    <t xml:space="preserve">Preview (no Acuity)</t>
  </si>
  <si>
    <t xml:space="preserve">Earthen Wall page</t>
  </si>
  <si>
    <t xml:space="preserve">Page loads, all sections render</t>
  </si>
  <si>
    <t xml:space="preserve">Open the Earthen Wall preview URL on desktop. Scroll the full page.</t>
  </si>
  <si>
    <t xml:space="preserve">Hero, craft, takehome, spend, sessions, voices, Kyoto chapter, FAQ, exp-grid all render. No console errors. Images load.</t>
  </si>
  <si>
    <t xml:space="preserve">T1</t>
  </si>
  <si>
    <t xml:space="preserve">TC1.2</t>
  </si>
  <si>
    <t xml:space="preserve">Mobile layout sanity</t>
  </si>
  <si>
    <t xml:space="preserve">Open the same page on a phone or 375px viewport.</t>
  </si>
  <si>
    <t xml:space="preserve">Layout reflows cleanly, hero text readable, nav collapses, no horizontal scroll.</t>
  </si>
  <si>
    <t xml:space="preserve">T2</t>
  </si>
  <si>
    <t xml:space="preserve">TC1.3</t>
  </si>
  <si>
    <t xml:space="preserve">Book Now CTA opens side panel</t>
  </si>
  <si>
    <t xml:space="preserve">Click the in-page Book Now CTA. Click the spend card Book Now.</t>
  </si>
  <si>
    <t xml:space="preserve">Side panel opens, calendar visible, form fields render.</t>
  </si>
  <si>
    <t xml:space="preserve">TC1.4</t>
  </si>
  <si>
    <t xml:space="preserve">Calendar UI behaves</t>
  </si>
  <si>
    <t xml:space="preserve">Try to pick a past date, a date inside the 24 hr cutoff, and a valid future date.</t>
  </si>
  <si>
    <t xml:space="preserve">Past and cutoff dates are disabled or blocked with clear message. Valid dates select cleanly.</t>
  </si>
  <si>
    <t xml:space="preserve">TC1.5</t>
  </si>
  <si>
    <t xml:space="preserve">Form validation</t>
  </si>
  <si>
    <t xml:space="preserve">Submit with empty required fields, invalid email, invalid card.</t>
  </si>
  <si>
    <t xml:space="preserve">Clear inline errors, submit button disabled or stops, no crash.</t>
  </si>
  <si>
    <t xml:space="preserve">TC1.6</t>
  </si>
  <si>
    <t xml:space="preserve">Tea Dye / Botanical / Koji</t>
  </si>
  <si>
    <t xml:space="preserve">Template parity check</t>
  </si>
  <si>
    <t xml:space="preserve">Open each of the three other workshop pages. Spot check hero, sessions, takehome, voices.</t>
  </si>
  <si>
    <t xml:space="preserve">Each shows its own content correctly. No leaked Earthen Wall copy. Per workshop reviews appear.</t>
  </si>
  <si>
    <t xml:space="preserve">TC1.7</t>
  </si>
  <si>
    <t xml:space="preserve">Hub / Experiences</t>
  </si>
  <si>
    <t xml:space="preserve">Hub page links work</t>
  </si>
  <si>
    <t xml:space="preserve">Click each of the four workshop cards and the two ceremony cards on the experiences hub.</t>
  </si>
  <si>
    <t xml:space="preserve">Workshops open the right detail page. Ceremonies open maana.jp experience pages in new tab or same tab as designed.</t>
  </si>
  <si>
    <t xml:space="preserve">TC2.1</t>
  </si>
  <si>
    <t xml:space="preserve">2</t>
  </si>
  <si>
    <t xml:space="preserve">Preview (Acuity wired)</t>
  </si>
  <si>
    <t xml:space="preserve">Earthen Wall, in-app flow</t>
  </si>
  <si>
    <t xml:space="preserve">Canonical happy path with fake card</t>
  </si>
  <si>
    <t xml:space="preserve">Earthen Wall, pick tomorrow, valid time, 1 guest, fill form, pay with 4242 4242 4242 4242, any future exp, any CVC.</t>
  </si>
  <si>
    <t xml:space="preserve">Stripe accepts the card. Confirmation screen shows. Acuity calendar shows the booking with correct name, date, time, guest count. Confirmation email arrives.</t>
  </si>
  <si>
    <t xml:space="preserve">T1 + T2 (both)</t>
  </si>
  <si>
    <t xml:space="preserve">TC2.2</t>
  </si>
  <si>
    <t xml:space="preserve">UNICORNS100 discount code</t>
  </si>
  <si>
    <t xml:space="preserve">Same as above but enter UNICORNS100 before submit.</t>
  </si>
  <si>
    <t xml:space="preserve">Confirmation screen explains the code was applied, shows final price and amount saved. Acuity shows the discounted price. Stripe charge matches.</t>
  </si>
  <si>
    <t xml:space="preserve">TC2.3</t>
  </si>
  <si>
    <t xml:space="preserve">Invalid discount code</t>
  </si>
  <si>
    <t xml:space="preserve">Enter a junk code like NOTAREALCODE.</t>
  </si>
  <si>
    <t xml:space="preserve">Code is rejected gracefully. Guest can clear it and continue at full price. No charge until they confirm.</t>
  </si>
  <si>
    <t xml:space="preserve">TC2.4</t>
  </si>
  <si>
    <t xml:space="preserve">Inventory decrements</t>
  </si>
  <si>
    <t xml:space="preserve">Note the spots remaining before the test booking. Complete the booking.</t>
  </si>
  <si>
    <t xml:space="preserve">Spots remaining drops by the guest count. Acuity matches. Refresh both surfaces.</t>
  </si>
  <si>
    <t xml:space="preserve">TC2.5</t>
  </si>
  <si>
    <t xml:space="preserve">Multi guest booking</t>
  </si>
  <si>
    <t xml:space="preserve">Book 3 guests for the same slot.</t>
  </si>
  <si>
    <t xml:space="preserve">Stripe charges per guest count. Acuity shows 3 spots taken in one booking. Email lists 3.</t>
  </si>
  <si>
    <t xml:space="preserve">TC2.6</t>
  </si>
  <si>
    <t xml:space="preserve">Close to cutoff date is blocked</t>
  </si>
  <si>
    <t xml:space="preserve">Try to book a slot starting in under 24 hours.</t>
  </si>
  <si>
    <t xml:space="preserve">Front end blocks selection or shows a clear cutoff message before payment is attempted.</t>
  </si>
  <si>
    <t xml:space="preserve">TC2.7</t>
  </si>
  <si>
    <t xml:space="preserve">Stripe error fallback redirects to Acuity portal</t>
  </si>
  <si>
    <t xml:space="preserve">Force a Stripe error. Use 4000 0000 0000 0002 (card declined) or simulate timeout per Sol's guidance.</t>
  </si>
  <si>
    <t xml:space="preserve">Guest sees a friendly message and gets redirected to the Acuity portal for the same experience so they can finish booking there.</t>
  </si>
  <si>
    <t xml:space="preserve">TC2.8</t>
  </si>
  <si>
    <t xml:space="preserve">Smoke test the other three</t>
  </si>
  <si>
    <t xml:space="preserve">One booking on each, fake card, no discount.</t>
  </si>
  <si>
    <t xml:space="preserve">All three book end to end. Acuity shows each. Confirmation email mentions the correct workshop name.</t>
  </si>
  <si>
    <t xml:space="preserve">Split: T1 takes Tea Dye and Botanical, T2 takes Koji</t>
  </si>
  <si>
    <t xml:space="preserve">TC2.9</t>
  </si>
  <si>
    <t xml:space="preserve">Top nav Book Now</t>
  </si>
  <si>
    <t xml:space="preserve">Hybrid path still works</t>
  </si>
  <si>
    <t xml:space="preserve">Click Book Now in the top nav. Pick Experiences. Pick an experience. Land in Acuity portal.</t>
  </si>
  <si>
    <t xml:space="preserve">Path remains intact. Acuity portal shows the right Select Class screen.</t>
  </si>
  <si>
    <t xml:space="preserve">TC2.10</t>
  </si>
  <si>
    <t xml:space="preserve">Tea Ceremony</t>
  </si>
  <si>
    <t xml:space="preserve">Join the Ceremony hybrid path</t>
  </si>
  <si>
    <t xml:space="preserve">Open Tea Ceremony page. Click Join the Ceremony.</t>
  </si>
  <si>
    <t xml:space="preserve">Routes to Acuity portal for the ceremony. Calendar shows correct availability.</t>
  </si>
  <si>
    <t xml:space="preserve">TC3.1</t>
  </si>
  <si>
    <t xml:space="preserve">3</t>
  </si>
  <si>
    <t xml:space="preserve">Preview (real card)</t>
  </si>
  <si>
    <t xml:space="preserve">Real card happy path</t>
  </si>
  <si>
    <t xml:space="preserve">Earthen Wall, tomorrow, 1 guest, your own card. Use a real email you can read.</t>
  </si>
  <si>
    <t xml:space="preserve">Real charge appears on the card. Acuity booking lands. Confirmation email arrives at the real address.</t>
  </si>
  <si>
    <t xml:space="preserve">T1 + T2 (both, each uses own card)</t>
  </si>
  <si>
    <t xml:space="preserve">TC3.2</t>
  </si>
  <si>
    <t xml:space="preserve">Real card with UNICORNS100</t>
  </si>
  <si>
    <t xml:space="preserve">Same as above with discount code.</t>
  </si>
  <si>
    <t xml:space="preserve">Charge equals discounted price. Confirmation screen and email reflect the saving.</t>
  </si>
  <si>
    <t xml:space="preserve">TC3.3</t>
  </si>
  <si>
    <t xml:space="preserve">Cancellation and refund</t>
  </si>
  <si>
    <t xml:space="preserve">Cancel the booking made above through the agreed cancellation route.</t>
  </si>
  <si>
    <t xml:space="preserve">Acuity shows the slot freed. Stripe shows the refund. Refund email or notice arrives.</t>
  </si>
  <si>
    <t xml:space="preserve">TC3.4</t>
  </si>
  <si>
    <t xml:space="preserve">Tea Ceremony, hybrid</t>
  </si>
  <si>
    <t xml:space="preserve">Excursion path real card</t>
  </si>
  <si>
    <t xml:space="preserve">Open Tea Ceremony page. Join the Ceremony. Complete the booking in Acuity portal with a real card.</t>
  </si>
  <si>
    <t xml:space="preserve">Charge clears, Acuity shows the booking, email arrives. This validates the hybrid path end to end.</t>
  </si>
  <si>
    <t xml:space="preserve">TC3.5</t>
  </si>
  <si>
    <t xml:space="preserve">Multi browser check</t>
  </si>
  <si>
    <t xml:space="preserve">Cross browser sanity</t>
  </si>
  <si>
    <t xml:space="preserve">Repeat the canonical happy path in Safari and Chrome at minimum.</t>
  </si>
  <si>
    <t xml:space="preserve">Both browsers complete the booking without layout or Stripe glitches.</t>
  </si>
  <si>
    <t xml:space="preserve">Split: T1 Chrome, T2 Safari</t>
  </si>
  <si>
    <t xml:space="preserve">TC4.1</t>
  </si>
  <si>
    <t xml:space="preserve">4</t>
  </si>
  <si>
    <t xml:space="preserve">Production (live)</t>
  </si>
  <si>
    <t xml:space="preserve">Production canonical happy path</t>
  </si>
  <si>
    <t xml:space="preserve">Live site. Earthen Wall, Saturday, 1 guest, real card. Both testers run this independently.</t>
  </si>
  <si>
    <t xml:space="preserve">Charge clears. Acuity production calendar shows the booking. Confirmation email arrives from production.</t>
  </si>
  <si>
    <t xml:space="preserve">TC4.2</t>
  </si>
  <si>
    <t xml:space="preserve">Production discount code</t>
  </si>
  <si>
    <t xml:space="preserve">Live site, UNICORNS100 applied, real card.</t>
  </si>
  <si>
    <t xml:space="preserve">Discount shown on confirmation screen. Charge matches. Email reflects discount.</t>
  </si>
  <si>
    <t xml:space="preserve">TC4.3</t>
  </si>
  <si>
    <t xml:space="preserve">Production cancellation</t>
  </si>
  <si>
    <t xml:space="preserve">Cancel one of the bookings made above.</t>
  </si>
  <si>
    <t xml:space="preserve">Slot freed in production Acuity. Refund processed. Email arrives.</t>
  </si>
  <si>
    <t xml:space="preserve">TC4.4</t>
  </si>
  <si>
    <t xml:space="preserve">Top nav Book Now path</t>
  </si>
  <si>
    <t xml:space="preserve">Hybrid path in production</t>
  </si>
  <si>
    <t xml:space="preserve">Top nav Book Now. Experiences. Pick experience. Acuity portal.</t>
  </si>
  <si>
    <t xml:space="preserve">Path resolves to the live Acuity. Calendar correct.</t>
  </si>
  <si>
    <t xml:space="preserve">TC4.5</t>
  </si>
  <si>
    <t xml:space="preserve">Tea Ceremony hybrid</t>
  </si>
  <si>
    <t xml:space="preserve">Excursion path in production</t>
  </si>
  <si>
    <t xml:space="preserve">Open Tea Ceremony page. Join the Ceremony.</t>
  </si>
  <si>
    <t xml:space="preserve">Routes to live Acuity. Calendar correct.</t>
  </si>
  <si>
    <t xml:space="preserve">TC4.6</t>
  </si>
  <si>
    <t xml:space="preserve">Other workshops smoke in production</t>
  </si>
  <si>
    <t xml:space="preserve">One real booking on each, real card, no discount.</t>
  </si>
  <si>
    <t xml:space="preserve">All three complete cleanly in production.</t>
  </si>
  <si>
    <t xml:space="preserve">Split: T1 Tea Dye and Botanical, T2 Koji</t>
  </si>
  <si>
    <t xml:space="preserve">TC4.7</t>
  </si>
  <si>
    <t xml:space="preserve">Mobile final</t>
  </si>
  <si>
    <t xml:space="preserve">Mobile production check</t>
  </si>
  <si>
    <t xml:space="preserve">Repeat canonical happy path on phone.</t>
  </si>
  <si>
    <t xml:space="preserve">Booking completes from phone. UI usable.</t>
  </si>
  <si>
    <t xml:space="preserve">Run Summary</t>
  </si>
  <si>
    <t xml:space="preserve">Total</t>
  </si>
  <si>
    <t xml:space="preserve">Not Run</t>
  </si>
  <si>
    <t xml:space="preserve">Status</t>
  </si>
  <si>
    <t xml:space="preserve">Phase 1: UI smoke</t>
  </si>
  <si>
    <t xml:space="preserve">Phase 2: Preview integration</t>
  </si>
  <si>
    <t xml:space="preserve">Phase 3: Real card on preview</t>
  </si>
  <si>
    <t xml:space="preserve">Phase 4: Production launch</t>
  </si>
  <si>
    <t xml:space="preserve">Bugs and Issues Log</t>
  </si>
  <si>
    <t xml:space="preserve">Add a row when a test fails or you notice something off. Sev 1 and Sev 2 must close before launch.</t>
  </si>
  <si>
    <t xml:space="preserve">Bug ID</t>
  </si>
  <si>
    <t xml:space="preserve">Linked Test ID</t>
  </si>
  <si>
    <t xml:space="preserve">Found By</t>
  </si>
  <si>
    <t xml:space="preserve">Date</t>
  </si>
  <si>
    <t xml:space="preserve">Severity</t>
  </si>
  <si>
    <t xml:space="preserve">Summary</t>
  </si>
  <si>
    <t xml:space="preserve">Owner</t>
  </si>
  <si>
    <t xml:space="preserve">Launch Sign Off</t>
  </si>
  <si>
    <t xml:space="preserve">Green means launch. Anything not green needs to close or get explicitly waived with a note.</t>
  </si>
  <si>
    <t xml:space="preserve">Gate</t>
  </si>
  <si>
    <t xml:space="preserve">Auto check</t>
  </si>
  <si>
    <t xml:space="preserve">Owner sign off</t>
  </si>
  <si>
    <t xml:space="preserve">Notes</t>
  </si>
  <si>
    <t xml:space="preserve">Phase 1 UI smoke complete</t>
  </si>
  <si>
    <t xml:space="preserve">Phase 2 preview integration complete</t>
  </si>
  <si>
    <t xml:space="preserve">Phase 3 real card on preview complete</t>
  </si>
  <si>
    <t xml:space="preserve">Phase 4 production launch complete</t>
  </si>
  <si>
    <t xml:space="preserve">No Sev 1 bugs open</t>
  </si>
  <si>
    <t xml:space="preserve">No Sev 2 bugs open</t>
  </si>
  <si>
    <t xml:space="preserve">Discount code UNICORNS100 verified in production</t>
  </si>
  <si>
    <t xml:space="preserve">Cancellation and refund verified in production</t>
  </si>
  <si>
    <t xml:space="preserve">Hybrid Acuity portal paths still working</t>
  </si>
  <si>
    <t xml:space="preserve">Tea Ceremony excursion path verified</t>
  </si>
  <si>
    <t xml:space="preserve">Final launch verdict</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</si>
</sst>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10"/>
      <color rgb="FF666666"/>
      <name val="Arial"/>
      <family val="0"/>
      <charset val="1"/>
    </font>
    <font>
      <sz val="11"/>
      <name val="Arial"/>
      <family val="0"/>
      <charset val="1"/>
    </font>
    <font>
      <b val="true"/>
      <sz val="12"/>
      <color rgb="FF333333"/>
      <name val="Arial"/>
      <family val="0"/>
      <charset val="1"/>
    </font>
    <font>
      <b val="true"/>
      <sz val="11"/>
      <name val="Arial"/>
      <family val="0"/>
      <charset val="1"/>
    </font>
    <font>
      <b val="true"/>
      <sz val="11"/>
      <color rgb="FFFFFFFF"/>
      <name val="Arial"/>
      <family val="0"/>
      <charset val="1"/>
    </font>
  </fonts>
  <fills count="8">
    <fill>
      <patternFill patternType="none"/>
    </fill>
    <fill>
      <patternFill patternType="gray125"/>
    </fill>
    <fill>
      <patternFill patternType="solid">
        <fgColor rgb="FF1A1714"/>
        <bgColor rgb="FF000000"/>
      </patternFill>
    </fill>
    <fill>
      <patternFill patternType="solid">
        <fgColor rgb="FFEFE7D2"/>
        <bgColor rgb="FFF1E9D8"/>
      </patternFill>
    </fill>
    <fill>
      <patternFill patternType="solid">
        <fgColor rgb="FFE8DFC6"/>
        <bgColor rgb="FFEFE7D2"/>
      </patternFill>
    </fill>
    <fill>
      <patternFill patternType="solid">
        <fgColor rgb="FFDDD3B5"/>
        <bgColor rgb="FFE8DFC6"/>
      </patternFill>
    </fill>
    <fill>
      <patternFill patternType="solid">
        <fgColor rgb="FFD8A679"/>
        <bgColor rgb="FF969696"/>
      </patternFill>
    </fill>
    <fill>
      <patternFill patternType="solid">
        <fgColor rgb="FFF1E9D8"/>
        <bgColor rgb="FFEFE7D2"/>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C6EFCE"/>
        </patternFill>
      </fill>
    </dxf>
    <dxf>
      <fill>
        <patternFill>
          <bgColor rgb="FFFFC7CE"/>
        </patternFill>
      </fill>
    </dxf>
    <dxf>
      <fill>
        <patternFill>
          <bgColor rgb="FFFFEB9C"/>
        </patternFill>
      </fill>
    </dxf>
    <dxf>
      <fill>
        <patternFill>
          <bgColor rgb="FFDDDDDD"/>
        </patternFill>
      </fill>
    </dxf>
    <dxf>
      <fill>
        <patternFill>
          <bgColor rgb="FFFFD699"/>
        </patternFill>
      </fill>
    </dxf>
    <dxf>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1E9D8"/>
      <rgbColor rgb="FFDDEBF7"/>
      <rgbColor rgb="FF660066"/>
      <rgbColor rgb="FFD8A679"/>
      <rgbColor rgb="FF0066CC"/>
      <rgbColor rgb="FFDDDDDD"/>
      <rgbColor rgb="FF000080"/>
      <rgbColor rgb="FFFF00FF"/>
      <rgbColor rgb="FFFFFF00"/>
      <rgbColor rgb="FF00FFFF"/>
      <rgbColor rgb="FF800080"/>
      <rgbColor rgb="FF800000"/>
      <rgbColor rgb="FF008080"/>
      <rgbColor rgb="FF0000FF"/>
      <rgbColor rgb="FF00CCFF"/>
      <rgbColor rgb="FFEFE7D2"/>
      <rgbColor rgb="FFC6EFCE"/>
      <rgbColor rgb="FFFFEB9C"/>
      <rgbColor rgb="FFDDD3B5"/>
      <rgbColor rgb="FFFFC7CE"/>
      <rgbColor rgb="FFE8DFC6"/>
      <rgbColor rgb="FFFFD699"/>
      <rgbColor rgb="FF3366FF"/>
      <rgbColor rgb="FF33CCCC"/>
      <rgbColor rgb="FF99CC00"/>
      <rgbColor rgb="FFFFCC00"/>
      <rgbColor rgb="FFFF9900"/>
      <rgbColor rgb="FFFF6600"/>
      <rgbColor rgb="FF666666"/>
      <rgbColor rgb="FF969696"/>
      <rgbColor rgb="FF003366"/>
      <rgbColor rgb="FF339966"/>
      <rgbColor rgb="FF003300"/>
      <rgbColor rgb="FF1A1714"/>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6" min="2" style="0" width="20"/>
  </cols>
  <sheetData>
    <row r="1" customFormat="false" ht="19.7"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3" customFormat="false" ht="19.5" hidden="false" customHeight="true" outlineLevel="0" collapsed="false">
      <c r="B3" s="3"/>
      <c r="C3" s="3"/>
      <c r="D3" s="3"/>
      <c r="E3" s="3"/>
      <c r="F3" s="3"/>
    </row>
    <row r="4" customFormat="false" ht="19.5" hidden="false" customHeight="true" outlineLevel="0" collapsed="false">
      <c r="A4" s="4" t="s">
        <v>2</v>
      </c>
      <c r="B4" s="4"/>
      <c r="C4" s="4"/>
      <c r="D4" s="4"/>
      <c r="E4" s="4"/>
      <c r="F4" s="4"/>
    </row>
    <row r="5" customFormat="false" ht="36" hidden="false" customHeight="true" outlineLevel="0" collapsed="false">
      <c r="B5" s="3" t="s">
        <v>3</v>
      </c>
      <c r="C5" s="3"/>
      <c r="D5" s="3"/>
      <c r="E5" s="3"/>
      <c r="F5" s="3"/>
    </row>
    <row r="6" customFormat="false" ht="36" hidden="false" customHeight="true" outlineLevel="0" collapsed="false">
      <c r="B6" s="3" t="s">
        <v>4</v>
      </c>
      <c r="C6" s="3"/>
      <c r="D6" s="3"/>
      <c r="E6" s="3"/>
      <c r="F6" s="3"/>
    </row>
    <row r="7" customFormat="false" ht="19.5" hidden="false" customHeight="true" outlineLevel="0" collapsed="false">
      <c r="B7" s="3"/>
      <c r="C7" s="3"/>
      <c r="D7" s="3"/>
      <c r="E7" s="3"/>
      <c r="F7" s="3"/>
    </row>
    <row r="8" customFormat="false" ht="19.5" hidden="false" customHeight="true" outlineLevel="0" collapsed="false">
      <c r="A8" s="4" t="s">
        <v>5</v>
      </c>
      <c r="B8" s="4"/>
      <c r="C8" s="4"/>
      <c r="D8" s="4"/>
      <c r="E8" s="4"/>
      <c r="F8" s="4"/>
    </row>
    <row r="9" customFormat="false" ht="36" hidden="false" customHeight="true" outlineLevel="0" collapsed="false">
      <c r="B9" s="3" t="s">
        <v>6</v>
      </c>
      <c r="C9" s="3"/>
      <c r="D9" s="3"/>
      <c r="E9" s="3"/>
      <c r="F9" s="3"/>
    </row>
    <row r="10" customFormat="false" ht="19.5" hidden="false" customHeight="true" outlineLevel="0" collapsed="false">
      <c r="B10" s="3"/>
      <c r="C10" s="3"/>
      <c r="D10" s="3"/>
      <c r="E10" s="3"/>
      <c r="F10" s="3"/>
    </row>
    <row r="11" customFormat="false" ht="19.5" hidden="false" customHeight="true" outlineLevel="0" collapsed="false">
      <c r="A11" s="4" t="s">
        <v>7</v>
      </c>
      <c r="B11" s="4"/>
      <c r="C11" s="4"/>
      <c r="D11" s="4"/>
      <c r="E11" s="4"/>
      <c r="F11" s="4"/>
    </row>
    <row r="12" customFormat="false" ht="36" hidden="false" customHeight="true" outlineLevel="0" collapsed="false">
      <c r="B12" s="3" t="s">
        <v>8</v>
      </c>
      <c r="C12" s="3"/>
      <c r="D12" s="3"/>
      <c r="E12" s="3"/>
      <c r="F12" s="3"/>
    </row>
    <row r="13" customFormat="false" ht="36" hidden="false" customHeight="true" outlineLevel="0" collapsed="false">
      <c r="B13" s="3" t="s">
        <v>9</v>
      </c>
      <c r="C13" s="3"/>
      <c r="D13" s="3"/>
      <c r="E13" s="3"/>
      <c r="F13" s="3"/>
    </row>
    <row r="14" customFormat="false" ht="36" hidden="false" customHeight="true" outlineLevel="0" collapsed="false">
      <c r="B14" s="3" t="s">
        <v>10</v>
      </c>
      <c r="C14" s="3"/>
      <c r="D14" s="3"/>
      <c r="E14" s="3"/>
      <c r="F14" s="3"/>
    </row>
    <row r="15" customFormat="false" ht="36" hidden="false" customHeight="true" outlineLevel="0" collapsed="false">
      <c r="B15" s="3" t="s">
        <v>11</v>
      </c>
      <c r="C15" s="3"/>
      <c r="D15" s="3"/>
      <c r="E15" s="3"/>
      <c r="F15" s="3"/>
    </row>
    <row r="16" customFormat="false" ht="36" hidden="false" customHeight="true" outlineLevel="0" collapsed="false">
      <c r="B16" s="3" t="s">
        <v>12</v>
      </c>
      <c r="C16" s="3"/>
      <c r="D16" s="3"/>
      <c r="E16" s="3"/>
      <c r="F16" s="3"/>
    </row>
    <row r="17" customFormat="false" ht="19.5" hidden="false" customHeight="true" outlineLevel="0" collapsed="false">
      <c r="B17" s="3"/>
      <c r="C17" s="3"/>
      <c r="D17" s="3"/>
      <c r="E17" s="3"/>
      <c r="F17" s="3"/>
    </row>
    <row r="18" customFormat="false" ht="19.5" hidden="false" customHeight="true" outlineLevel="0" collapsed="false">
      <c r="A18" s="4" t="s">
        <v>13</v>
      </c>
      <c r="B18" s="4"/>
      <c r="C18" s="4"/>
      <c r="D18" s="4"/>
      <c r="E18" s="4"/>
      <c r="F18" s="4"/>
    </row>
    <row r="19" customFormat="false" ht="19.5" hidden="false" customHeight="true" outlineLevel="0" collapsed="false">
      <c r="A19" s="5" t="s">
        <v>14</v>
      </c>
      <c r="B19" s="3" t="s">
        <v>15</v>
      </c>
      <c r="C19" s="3"/>
      <c r="D19" s="3"/>
      <c r="E19" s="3"/>
      <c r="F19" s="3"/>
    </row>
    <row r="20" customFormat="false" ht="19.5" hidden="false" customHeight="true" outlineLevel="0" collapsed="false">
      <c r="A20" s="5" t="s">
        <v>16</v>
      </c>
      <c r="B20" s="3" t="s">
        <v>17</v>
      </c>
      <c r="C20" s="3"/>
      <c r="D20" s="3"/>
      <c r="E20" s="3"/>
      <c r="F20" s="3"/>
    </row>
    <row r="21" customFormat="false" ht="19.5" hidden="false" customHeight="true" outlineLevel="0" collapsed="false">
      <c r="A21" s="5" t="s">
        <v>18</v>
      </c>
      <c r="B21" s="3" t="s">
        <v>19</v>
      </c>
      <c r="C21" s="3"/>
      <c r="D21" s="3"/>
      <c r="E21" s="3"/>
      <c r="F21" s="3"/>
    </row>
    <row r="22" customFormat="false" ht="19.5" hidden="false" customHeight="true" outlineLevel="0" collapsed="false">
      <c r="A22" s="5" t="s">
        <v>20</v>
      </c>
      <c r="B22" s="3" t="s">
        <v>21</v>
      </c>
      <c r="C22" s="3"/>
      <c r="D22" s="3"/>
      <c r="E22" s="3"/>
      <c r="F22" s="3"/>
    </row>
    <row r="23" customFormat="false" ht="19.5" hidden="false" customHeight="true" outlineLevel="0" collapsed="false">
      <c r="B23" s="3"/>
      <c r="C23" s="3"/>
      <c r="D23" s="3"/>
      <c r="E23" s="3"/>
      <c r="F23" s="3"/>
    </row>
    <row r="24" customFormat="false" ht="19.5" hidden="false" customHeight="true" outlineLevel="0" collapsed="false">
      <c r="A24" s="4" t="s">
        <v>22</v>
      </c>
      <c r="B24" s="4"/>
      <c r="C24" s="4"/>
      <c r="D24" s="4"/>
      <c r="E24" s="4"/>
      <c r="F24" s="4"/>
    </row>
    <row r="25" customFormat="false" ht="36" hidden="false" customHeight="true" outlineLevel="0" collapsed="false">
      <c r="B25" s="3" t="s">
        <v>23</v>
      </c>
      <c r="C25" s="3"/>
      <c r="D25" s="3"/>
      <c r="E25" s="3"/>
      <c r="F25" s="3"/>
    </row>
  </sheetData>
  <mergeCells count="25">
    <mergeCell ref="A1:F1"/>
    <mergeCell ref="A2:F2"/>
    <mergeCell ref="B3:F3"/>
    <mergeCell ref="A4:F4"/>
    <mergeCell ref="B5:F5"/>
    <mergeCell ref="B6:F6"/>
    <mergeCell ref="B7:F7"/>
    <mergeCell ref="A8:F8"/>
    <mergeCell ref="B9:F9"/>
    <mergeCell ref="B10:F10"/>
    <mergeCell ref="A11:F11"/>
    <mergeCell ref="B12:F12"/>
    <mergeCell ref="B13:F13"/>
    <mergeCell ref="B14:F14"/>
    <mergeCell ref="B15:F15"/>
    <mergeCell ref="B16:F16"/>
    <mergeCell ref="B17:F17"/>
    <mergeCell ref="A18:F18"/>
    <mergeCell ref="B19:F19"/>
    <mergeCell ref="B20:F20"/>
    <mergeCell ref="B21:F21"/>
    <mergeCell ref="B22:F22"/>
    <mergeCell ref="B23:F23"/>
    <mergeCell ref="A24:F24"/>
    <mergeCell ref="B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22"/>
    <col collapsed="false" customWidth="true" hidden="false" outlineLevel="0" max="4" min="4" style="0" width="26"/>
    <col collapsed="false" customWidth="true" hidden="false" outlineLevel="0" max="5" min="5" style="0" width="28"/>
    <col collapsed="false" customWidth="true" hidden="false" outlineLevel="0" max="7" min="6" style="0" width="38"/>
    <col collapsed="false" customWidth="true" hidden="false" outlineLevel="0" max="8" min="8" style="0" width="22"/>
    <col collapsed="false" customWidth="true" hidden="false" outlineLevel="0" max="10" min="9" style="0" width="12"/>
    <col collapsed="false" customWidth="true" hidden="false" outlineLevel="0" max="11" min="11" style="0" width="26"/>
  </cols>
  <sheetData>
    <row r="1" customFormat="false" ht="19.7" hidden="false" customHeight="false" outlineLevel="0" collapsed="false">
      <c r="A1" s="1" t="s">
        <v>24</v>
      </c>
      <c r="B1" s="1"/>
      <c r="C1" s="1"/>
      <c r="D1" s="1"/>
      <c r="E1" s="1"/>
      <c r="F1" s="1"/>
      <c r="G1" s="1"/>
      <c r="H1" s="1"/>
      <c r="I1" s="1"/>
      <c r="J1" s="1"/>
      <c r="K1" s="1"/>
    </row>
    <row r="2" customFormat="false" ht="30" hidden="false" customHeight="true" outlineLevel="0" collapsed="false">
      <c r="A2" s="6" t="s">
        <v>25</v>
      </c>
      <c r="B2" s="6"/>
      <c r="C2" s="6"/>
      <c r="D2" s="6"/>
      <c r="E2" s="6"/>
      <c r="F2" s="6"/>
      <c r="G2" s="6"/>
      <c r="H2" s="6"/>
      <c r="I2" s="6"/>
      <c r="J2" s="6"/>
      <c r="K2" s="6"/>
    </row>
    <row r="4" customFormat="false" ht="31.5" hidden="false" customHeight="true" outlineLevel="0" collapsed="false">
      <c r="A4" s="7" t="s">
        <v>26</v>
      </c>
      <c r="B4" s="7" t="s">
        <v>27</v>
      </c>
      <c r="C4" s="7" t="s">
        <v>28</v>
      </c>
      <c r="D4" s="7" t="s">
        <v>29</v>
      </c>
      <c r="E4" s="7" t="s">
        <v>30</v>
      </c>
      <c r="F4" s="7" t="s">
        <v>31</v>
      </c>
      <c r="G4" s="7" t="s">
        <v>32</v>
      </c>
      <c r="H4" s="7" t="s">
        <v>33</v>
      </c>
      <c r="I4" s="7" t="s">
        <v>34</v>
      </c>
      <c r="J4" s="7" t="s">
        <v>35</v>
      </c>
      <c r="K4" s="7" t="s">
        <v>36</v>
      </c>
    </row>
    <row r="5" customFormat="false" ht="60" hidden="false" customHeight="true" outlineLevel="0" collapsed="false">
      <c r="A5" s="8" t="s">
        <v>37</v>
      </c>
      <c r="B5" s="8" t="s">
        <v>38</v>
      </c>
      <c r="C5" s="8" t="s">
        <v>39</v>
      </c>
      <c r="D5" s="8" t="s">
        <v>40</v>
      </c>
      <c r="E5" s="9" t="s">
        <v>41</v>
      </c>
      <c r="F5" s="9" t="s">
        <v>42</v>
      </c>
      <c r="G5" s="9" t="s">
        <v>43</v>
      </c>
      <c r="H5" s="8" t="s">
        <v>44</v>
      </c>
      <c r="I5" s="8"/>
      <c r="J5" s="8"/>
      <c r="K5" s="9"/>
    </row>
    <row r="6" customFormat="false" ht="60" hidden="false" customHeight="true" outlineLevel="0" collapsed="false">
      <c r="A6" s="8" t="s">
        <v>45</v>
      </c>
      <c r="B6" s="8" t="s">
        <v>38</v>
      </c>
      <c r="C6" s="8" t="s">
        <v>39</v>
      </c>
      <c r="D6" s="8" t="s">
        <v>40</v>
      </c>
      <c r="E6" s="9" t="s">
        <v>46</v>
      </c>
      <c r="F6" s="9" t="s">
        <v>47</v>
      </c>
      <c r="G6" s="9" t="s">
        <v>48</v>
      </c>
      <c r="H6" s="8" t="s">
        <v>49</v>
      </c>
      <c r="I6" s="8"/>
      <c r="J6" s="8"/>
      <c r="K6" s="9"/>
    </row>
    <row r="7" customFormat="false" ht="60" hidden="false" customHeight="true" outlineLevel="0" collapsed="false">
      <c r="A7" s="8" t="s">
        <v>50</v>
      </c>
      <c r="B7" s="8" t="s">
        <v>38</v>
      </c>
      <c r="C7" s="8" t="s">
        <v>39</v>
      </c>
      <c r="D7" s="8" t="s">
        <v>40</v>
      </c>
      <c r="E7" s="9" t="s">
        <v>51</v>
      </c>
      <c r="F7" s="9" t="s">
        <v>52</v>
      </c>
      <c r="G7" s="9" t="s">
        <v>53</v>
      </c>
      <c r="H7" s="8" t="s">
        <v>44</v>
      </c>
      <c r="I7" s="8"/>
      <c r="J7" s="8"/>
      <c r="K7" s="9"/>
    </row>
    <row r="8" customFormat="false" ht="60" hidden="false" customHeight="true" outlineLevel="0" collapsed="false">
      <c r="A8" s="8" t="s">
        <v>54</v>
      </c>
      <c r="B8" s="8" t="s">
        <v>38</v>
      </c>
      <c r="C8" s="8" t="s">
        <v>39</v>
      </c>
      <c r="D8" s="8" t="s">
        <v>40</v>
      </c>
      <c r="E8" s="9" t="s">
        <v>55</v>
      </c>
      <c r="F8" s="9" t="s">
        <v>56</v>
      </c>
      <c r="G8" s="9" t="s">
        <v>57</v>
      </c>
      <c r="H8" s="8" t="s">
        <v>49</v>
      </c>
      <c r="I8" s="8"/>
      <c r="J8" s="8"/>
      <c r="K8" s="9"/>
    </row>
    <row r="9" customFormat="false" ht="60" hidden="false" customHeight="true" outlineLevel="0" collapsed="false">
      <c r="A9" s="8" t="s">
        <v>58</v>
      </c>
      <c r="B9" s="8" t="s">
        <v>38</v>
      </c>
      <c r="C9" s="8" t="s">
        <v>39</v>
      </c>
      <c r="D9" s="8" t="s">
        <v>40</v>
      </c>
      <c r="E9" s="9" t="s">
        <v>59</v>
      </c>
      <c r="F9" s="9" t="s">
        <v>60</v>
      </c>
      <c r="G9" s="9" t="s">
        <v>61</v>
      </c>
      <c r="H9" s="8" t="s">
        <v>44</v>
      </c>
      <c r="I9" s="8"/>
      <c r="J9" s="8"/>
      <c r="K9" s="9"/>
    </row>
    <row r="10" customFormat="false" ht="60" hidden="false" customHeight="true" outlineLevel="0" collapsed="false">
      <c r="A10" s="8" t="s">
        <v>62</v>
      </c>
      <c r="B10" s="8" t="s">
        <v>38</v>
      </c>
      <c r="C10" s="8" t="s">
        <v>39</v>
      </c>
      <c r="D10" s="8" t="s">
        <v>63</v>
      </c>
      <c r="E10" s="9" t="s">
        <v>64</v>
      </c>
      <c r="F10" s="9" t="s">
        <v>65</v>
      </c>
      <c r="G10" s="9" t="s">
        <v>66</v>
      </c>
      <c r="H10" s="8" t="s">
        <v>49</v>
      </c>
      <c r="I10" s="8"/>
      <c r="J10" s="8"/>
      <c r="K10" s="9"/>
    </row>
    <row r="11" customFormat="false" ht="60" hidden="false" customHeight="true" outlineLevel="0" collapsed="false">
      <c r="A11" s="8" t="s">
        <v>67</v>
      </c>
      <c r="B11" s="8" t="s">
        <v>38</v>
      </c>
      <c r="C11" s="8" t="s">
        <v>39</v>
      </c>
      <c r="D11" s="8" t="s">
        <v>68</v>
      </c>
      <c r="E11" s="9" t="s">
        <v>69</v>
      </c>
      <c r="F11" s="9" t="s">
        <v>70</v>
      </c>
      <c r="G11" s="9" t="s">
        <v>71</v>
      </c>
      <c r="H11" s="8" t="s">
        <v>44</v>
      </c>
      <c r="I11" s="8"/>
      <c r="J11" s="8"/>
      <c r="K11" s="9"/>
    </row>
    <row r="12" customFormat="false" ht="60" hidden="false" customHeight="true" outlineLevel="0" collapsed="false">
      <c r="A12" s="10" t="s">
        <v>72</v>
      </c>
      <c r="B12" s="10" t="s">
        <v>73</v>
      </c>
      <c r="C12" s="10" t="s">
        <v>74</v>
      </c>
      <c r="D12" s="10" t="s">
        <v>75</v>
      </c>
      <c r="E12" s="11" t="s">
        <v>76</v>
      </c>
      <c r="F12" s="11" t="s">
        <v>77</v>
      </c>
      <c r="G12" s="11" t="s">
        <v>78</v>
      </c>
      <c r="H12" s="10" t="s">
        <v>79</v>
      </c>
      <c r="I12" s="10"/>
      <c r="J12" s="10"/>
      <c r="K12" s="11"/>
    </row>
    <row r="13" customFormat="false" ht="60" hidden="false" customHeight="true" outlineLevel="0" collapsed="false">
      <c r="A13" s="10" t="s">
        <v>80</v>
      </c>
      <c r="B13" s="10" t="s">
        <v>73</v>
      </c>
      <c r="C13" s="10" t="s">
        <v>74</v>
      </c>
      <c r="D13" s="10" t="s">
        <v>75</v>
      </c>
      <c r="E13" s="11" t="s">
        <v>81</v>
      </c>
      <c r="F13" s="11" t="s">
        <v>82</v>
      </c>
      <c r="G13" s="11" t="s">
        <v>83</v>
      </c>
      <c r="H13" s="10" t="s">
        <v>44</v>
      </c>
      <c r="I13" s="10"/>
      <c r="J13" s="10"/>
      <c r="K13" s="11"/>
    </row>
    <row r="14" customFormat="false" ht="60" hidden="false" customHeight="true" outlineLevel="0" collapsed="false">
      <c r="A14" s="10" t="s">
        <v>84</v>
      </c>
      <c r="B14" s="10" t="s">
        <v>73</v>
      </c>
      <c r="C14" s="10" t="s">
        <v>74</v>
      </c>
      <c r="D14" s="10" t="s">
        <v>75</v>
      </c>
      <c r="E14" s="11" t="s">
        <v>85</v>
      </c>
      <c r="F14" s="11" t="s">
        <v>86</v>
      </c>
      <c r="G14" s="11" t="s">
        <v>87</v>
      </c>
      <c r="H14" s="10" t="s">
        <v>49</v>
      </c>
      <c r="I14" s="10"/>
      <c r="J14" s="10"/>
      <c r="K14" s="11"/>
    </row>
    <row r="15" customFormat="false" ht="60" hidden="false" customHeight="true" outlineLevel="0" collapsed="false">
      <c r="A15" s="10" t="s">
        <v>88</v>
      </c>
      <c r="B15" s="10" t="s">
        <v>73</v>
      </c>
      <c r="C15" s="10" t="s">
        <v>74</v>
      </c>
      <c r="D15" s="10" t="s">
        <v>75</v>
      </c>
      <c r="E15" s="11" t="s">
        <v>89</v>
      </c>
      <c r="F15" s="11" t="s">
        <v>90</v>
      </c>
      <c r="G15" s="11" t="s">
        <v>91</v>
      </c>
      <c r="H15" s="10" t="s">
        <v>44</v>
      </c>
      <c r="I15" s="10"/>
      <c r="J15" s="10"/>
      <c r="K15" s="11"/>
    </row>
    <row r="16" customFormat="false" ht="60" hidden="false" customHeight="true" outlineLevel="0" collapsed="false">
      <c r="A16" s="10" t="s">
        <v>92</v>
      </c>
      <c r="B16" s="10" t="s">
        <v>73</v>
      </c>
      <c r="C16" s="10" t="s">
        <v>74</v>
      </c>
      <c r="D16" s="10" t="s">
        <v>75</v>
      </c>
      <c r="E16" s="11" t="s">
        <v>93</v>
      </c>
      <c r="F16" s="11" t="s">
        <v>94</v>
      </c>
      <c r="G16" s="11" t="s">
        <v>95</v>
      </c>
      <c r="H16" s="10" t="s">
        <v>49</v>
      </c>
      <c r="I16" s="10"/>
      <c r="J16" s="10"/>
      <c r="K16" s="11"/>
    </row>
    <row r="17" customFormat="false" ht="60" hidden="false" customHeight="true" outlineLevel="0" collapsed="false">
      <c r="A17" s="10" t="s">
        <v>96</v>
      </c>
      <c r="B17" s="10" t="s">
        <v>73</v>
      </c>
      <c r="C17" s="10" t="s">
        <v>74</v>
      </c>
      <c r="D17" s="10" t="s">
        <v>75</v>
      </c>
      <c r="E17" s="11" t="s">
        <v>97</v>
      </c>
      <c r="F17" s="11" t="s">
        <v>98</v>
      </c>
      <c r="G17" s="11" t="s">
        <v>99</v>
      </c>
      <c r="H17" s="10" t="s">
        <v>44</v>
      </c>
      <c r="I17" s="10"/>
      <c r="J17" s="10"/>
      <c r="K17" s="11"/>
    </row>
    <row r="18" customFormat="false" ht="60" hidden="false" customHeight="true" outlineLevel="0" collapsed="false">
      <c r="A18" s="10" t="s">
        <v>100</v>
      </c>
      <c r="B18" s="10" t="s">
        <v>73</v>
      </c>
      <c r="C18" s="10" t="s">
        <v>74</v>
      </c>
      <c r="D18" s="10" t="s">
        <v>75</v>
      </c>
      <c r="E18" s="11" t="s">
        <v>101</v>
      </c>
      <c r="F18" s="11" t="s">
        <v>102</v>
      </c>
      <c r="G18" s="11" t="s">
        <v>103</v>
      </c>
      <c r="H18" s="10" t="s">
        <v>49</v>
      </c>
      <c r="I18" s="10"/>
      <c r="J18" s="10"/>
      <c r="K18" s="11"/>
    </row>
    <row r="19" customFormat="false" ht="60" hidden="false" customHeight="true" outlineLevel="0" collapsed="false">
      <c r="A19" s="10" t="s">
        <v>104</v>
      </c>
      <c r="B19" s="10" t="s">
        <v>73</v>
      </c>
      <c r="C19" s="10" t="s">
        <v>74</v>
      </c>
      <c r="D19" s="10" t="s">
        <v>63</v>
      </c>
      <c r="E19" s="11" t="s">
        <v>105</v>
      </c>
      <c r="F19" s="11" t="s">
        <v>106</v>
      </c>
      <c r="G19" s="11" t="s">
        <v>107</v>
      </c>
      <c r="H19" s="10" t="s">
        <v>108</v>
      </c>
      <c r="I19" s="10"/>
      <c r="J19" s="10"/>
      <c r="K19" s="11"/>
    </row>
    <row r="20" customFormat="false" ht="60" hidden="false" customHeight="true" outlineLevel="0" collapsed="false">
      <c r="A20" s="10" t="s">
        <v>109</v>
      </c>
      <c r="B20" s="10" t="s">
        <v>73</v>
      </c>
      <c r="C20" s="10" t="s">
        <v>74</v>
      </c>
      <c r="D20" s="10" t="s">
        <v>110</v>
      </c>
      <c r="E20" s="11" t="s">
        <v>111</v>
      </c>
      <c r="F20" s="11" t="s">
        <v>112</v>
      </c>
      <c r="G20" s="11" t="s">
        <v>113</v>
      </c>
      <c r="H20" s="10" t="s">
        <v>44</v>
      </c>
      <c r="I20" s="10"/>
      <c r="J20" s="10"/>
      <c r="K20" s="11"/>
    </row>
    <row r="21" customFormat="false" ht="60" hidden="false" customHeight="true" outlineLevel="0" collapsed="false">
      <c r="A21" s="10" t="s">
        <v>114</v>
      </c>
      <c r="B21" s="10" t="s">
        <v>73</v>
      </c>
      <c r="C21" s="10" t="s">
        <v>74</v>
      </c>
      <c r="D21" s="10" t="s">
        <v>115</v>
      </c>
      <c r="E21" s="11" t="s">
        <v>116</v>
      </c>
      <c r="F21" s="11" t="s">
        <v>117</v>
      </c>
      <c r="G21" s="11" t="s">
        <v>118</v>
      </c>
      <c r="H21" s="10" t="s">
        <v>49</v>
      </c>
      <c r="I21" s="10"/>
      <c r="J21" s="10"/>
      <c r="K21" s="11"/>
    </row>
    <row r="22" customFormat="false" ht="60" hidden="false" customHeight="true" outlineLevel="0" collapsed="false">
      <c r="A22" s="12" t="s">
        <v>119</v>
      </c>
      <c r="B22" s="12" t="s">
        <v>120</v>
      </c>
      <c r="C22" s="12" t="s">
        <v>121</v>
      </c>
      <c r="D22" s="12" t="s">
        <v>75</v>
      </c>
      <c r="E22" s="13" t="s">
        <v>122</v>
      </c>
      <c r="F22" s="13" t="s">
        <v>123</v>
      </c>
      <c r="G22" s="13" t="s">
        <v>124</v>
      </c>
      <c r="H22" s="12" t="s">
        <v>125</v>
      </c>
      <c r="I22" s="12"/>
      <c r="J22" s="12"/>
      <c r="K22" s="13"/>
    </row>
    <row r="23" customFormat="false" ht="60" hidden="false" customHeight="true" outlineLevel="0" collapsed="false">
      <c r="A23" s="12" t="s">
        <v>126</v>
      </c>
      <c r="B23" s="12" t="s">
        <v>120</v>
      </c>
      <c r="C23" s="12" t="s">
        <v>121</v>
      </c>
      <c r="D23" s="12" t="s">
        <v>75</v>
      </c>
      <c r="E23" s="13" t="s">
        <v>127</v>
      </c>
      <c r="F23" s="13" t="s">
        <v>128</v>
      </c>
      <c r="G23" s="13" t="s">
        <v>129</v>
      </c>
      <c r="H23" s="12" t="s">
        <v>44</v>
      </c>
      <c r="I23" s="12"/>
      <c r="J23" s="12"/>
      <c r="K23" s="13"/>
    </row>
    <row r="24" customFormat="false" ht="60" hidden="false" customHeight="true" outlineLevel="0" collapsed="false">
      <c r="A24" s="12" t="s">
        <v>130</v>
      </c>
      <c r="B24" s="12" t="s">
        <v>120</v>
      </c>
      <c r="C24" s="12" t="s">
        <v>121</v>
      </c>
      <c r="D24" s="12" t="s">
        <v>75</v>
      </c>
      <c r="E24" s="13" t="s">
        <v>131</v>
      </c>
      <c r="F24" s="13" t="s">
        <v>132</v>
      </c>
      <c r="G24" s="13" t="s">
        <v>133</v>
      </c>
      <c r="H24" s="12" t="s">
        <v>49</v>
      </c>
      <c r="I24" s="12"/>
      <c r="J24" s="12"/>
      <c r="K24" s="13"/>
    </row>
    <row r="25" customFormat="false" ht="60" hidden="false" customHeight="true" outlineLevel="0" collapsed="false">
      <c r="A25" s="12" t="s">
        <v>134</v>
      </c>
      <c r="B25" s="12" t="s">
        <v>120</v>
      </c>
      <c r="C25" s="12" t="s">
        <v>121</v>
      </c>
      <c r="D25" s="12" t="s">
        <v>135</v>
      </c>
      <c r="E25" s="13" t="s">
        <v>136</v>
      </c>
      <c r="F25" s="13" t="s">
        <v>137</v>
      </c>
      <c r="G25" s="13" t="s">
        <v>138</v>
      </c>
      <c r="H25" s="12" t="s">
        <v>44</v>
      </c>
      <c r="I25" s="12"/>
      <c r="J25" s="12"/>
      <c r="K25" s="13"/>
    </row>
    <row r="26" customFormat="false" ht="60" hidden="false" customHeight="true" outlineLevel="0" collapsed="false">
      <c r="A26" s="12" t="s">
        <v>139</v>
      </c>
      <c r="B26" s="12" t="s">
        <v>120</v>
      </c>
      <c r="C26" s="12" t="s">
        <v>121</v>
      </c>
      <c r="D26" s="12" t="s">
        <v>140</v>
      </c>
      <c r="E26" s="13" t="s">
        <v>141</v>
      </c>
      <c r="F26" s="13" t="s">
        <v>142</v>
      </c>
      <c r="G26" s="13" t="s">
        <v>143</v>
      </c>
      <c r="H26" s="12" t="s">
        <v>144</v>
      </c>
      <c r="I26" s="12"/>
      <c r="J26" s="12"/>
      <c r="K26" s="13"/>
    </row>
    <row r="27" customFormat="false" ht="60" hidden="false" customHeight="true" outlineLevel="0" collapsed="false">
      <c r="A27" s="14" t="s">
        <v>145</v>
      </c>
      <c r="B27" s="14" t="s">
        <v>146</v>
      </c>
      <c r="C27" s="14" t="s">
        <v>147</v>
      </c>
      <c r="D27" s="14" t="s">
        <v>75</v>
      </c>
      <c r="E27" s="15" t="s">
        <v>148</v>
      </c>
      <c r="F27" s="15" t="s">
        <v>149</v>
      </c>
      <c r="G27" s="15" t="s">
        <v>150</v>
      </c>
      <c r="H27" s="14" t="s">
        <v>79</v>
      </c>
      <c r="I27" s="14"/>
      <c r="J27" s="14"/>
      <c r="K27" s="15"/>
    </row>
    <row r="28" customFormat="false" ht="60" hidden="false" customHeight="true" outlineLevel="0" collapsed="false">
      <c r="A28" s="14" t="s">
        <v>151</v>
      </c>
      <c r="B28" s="14" t="s">
        <v>146</v>
      </c>
      <c r="C28" s="14" t="s">
        <v>147</v>
      </c>
      <c r="D28" s="14" t="s">
        <v>75</v>
      </c>
      <c r="E28" s="15" t="s">
        <v>152</v>
      </c>
      <c r="F28" s="15" t="s">
        <v>153</v>
      </c>
      <c r="G28" s="15" t="s">
        <v>154</v>
      </c>
      <c r="H28" s="14" t="s">
        <v>44</v>
      </c>
      <c r="I28" s="14"/>
      <c r="J28" s="14"/>
      <c r="K28" s="15"/>
    </row>
    <row r="29" customFormat="false" ht="60" hidden="false" customHeight="true" outlineLevel="0" collapsed="false">
      <c r="A29" s="14" t="s">
        <v>155</v>
      </c>
      <c r="B29" s="14" t="s">
        <v>146</v>
      </c>
      <c r="C29" s="14" t="s">
        <v>147</v>
      </c>
      <c r="D29" s="14" t="s">
        <v>75</v>
      </c>
      <c r="E29" s="15" t="s">
        <v>156</v>
      </c>
      <c r="F29" s="15" t="s">
        <v>157</v>
      </c>
      <c r="G29" s="15" t="s">
        <v>158</v>
      </c>
      <c r="H29" s="14" t="s">
        <v>49</v>
      </c>
      <c r="I29" s="14"/>
      <c r="J29" s="14"/>
      <c r="K29" s="15"/>
    </row>
    <row r="30" customFormat="false" ht="60" hidden="false" customHeight="true" outlineLevel="0" collapsed="false">
      <c r="A30" s="14" t="s">
        <v>159</v>
      </c>
      <c r="B30" s="14" t="s">
        <v>146</v>
      </c>
      <c r="C30" s="14" t="s">
        <v>147</v>
      </c>
      <c r="D30" s="14" t="s">
        <v>160</v>
      </c>
      <c r="E30" s="15" t="s">
        <v>161</v>
      </c>
      <c r="F30" s="15" t="s">
        <v>162</v>
      </c>
      <c r="G30" s="15" t="s">
        <v>163</v>
      </c>
      <c r="H30" s="14" t="s">
        <v>44</v>
      </c>
      <c r="I30" s="14"/>
      <c r="J30" s="14"/>
      <c r="K30" s="15"/>
    </row>
    <row r="31" customFormat="false" ht="60" hidden="false" customHeight="true" outlineLevel="0" collapsed="false">
      <c r="A31" s="14" t="s">
        <v>164</v>
      </c>
      <c r="B31" s="14" t="s">
        <v>146</v>
      </c>
      <c r="C31" s="14" t="s">
        <v>147</v>
      </c>
      <c r="D31" s="14" t="s">
        <v>165</v>
      </c>
      <c r="E31" s="15" t="s">
        <v>166</v>
      </c>
      <c r="F31" s="15" t="s">
        <v>167</v>
      </c>
      <c r="G31" s="15" t="s">
        <v>168</v>
      </c>
      <c r="H31" s="14" t="s">
        <v>49</v>
      </c>
      <c r="I31" s="14"/>
      <c r="J31" s="14"/>
      <c r="K31" s="15"/>
    </row>
    <row r="32" customFormat="false" ht="60" hidden="false" customHeight="true" outlineLevel="0" collapsed="false">
      <c r="A32" s="14" t="s">
        <v>169</v>
      </c>
      <c r="B32" s="14" t="s">
        <v>146</v>
      </c>
      <c r="C32" s="14" t="s">
        <v>147</v>
      </c>
      <c r="D32" s="14" t="s">
        <v>63</v>
      </c>
      <c r="E32" s="15" t="s">
        <v>170</v>
      </c>
      <c r="F32" s="15" t="s">
        <v>171</v>
      </c>
      <c r="G32" s="15" t="s">
        <v>172</v>
      </c>
      <c r="H32" s="14" t="s">
        <v>173</v>
      </c>
      <c r="I32" s="14"/>
      <c r="J32" s="14"/>
      <c r="K32" s="15"/>
    </row>
    <row r="33" customFormat="false" ht="60" hidden="false" customHeight="true" outlineLevel="0" collapsed="false">
      <c r="A33" s="14" t="s">
        <v>174</v>
      </c>
      <c r="B33" s="14" t="s">
        <v>146</v>
      </c>
      <c r="C33" s="14" t="s">
        <v>147</v>
      </c>
      <c r="D33" s="14" t="s">
        <v>175</v>
      </c>
      <c r="E33" s="15" t="s">
        <v>176</v>
      </c>
      <c r="F33" s="15" t="s">
        <v>177</v>
      </c>
      <c r="G33" s="15" t="s">
        <v>178</v>
      </c>
      <c r="H33" s="14" t="s">
        <v>44</v>
      </c>
      <c r="I33" s="14"/>
      <c r="J33" s="14"/>
      <c r="K33" s="15"/>
    </row>
  </sheetData>
  <mergeCells count="2">
    <mergeCell ref="A1:K1"/>
    <mergeCell ref="A2:K2"/>
  </mergeCells>
  <conditionalFormatting sqref="J5:J33">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"Blocked"</formula>
    </cfRule>
    <cfRule type="cellIs" priority="5" operator="equal" aboveAverage="0" equalAverage="0" bottom="0" percent="0" rank="0" text="" dxfId="3">
      <formula>"Skipped"</formula>
    </cfRule>
  </conditionalFormatting>
  <dataValidations count="1">
    <dataValidation allowBlank="true" errorStyle="stop" operator="between" showDropDown="false" showErrorMessage="false" showInputMessage="false" sqref="J5:J33" type="list">
      <formula1>"Pass,Fail,Blocked,Skipped"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4" min="2" style="0" width="10"/>
    <col collapsed="false" customWidth="true" hidden="false" outlineLevel="0" max="7" min="5" style="0" width="12"/>
    <col collapsed="false" customWidth="true" hidden="false" outlineLevel="0" max="8" min="8" style="0" width="22"/>
  </cols>
  <sheetData>
    <row r="1" customFormat="false" ht="19.7" hidden="false" customHeight="false" outlineLevel="0" collapsed="false">
      <c r="A1" s="1" t="s">
        <v>179</v>
      </c>
      <c r="B1" s="1"/>
      <c r="C1" s="1"/>
      <c r="D1" s="1"/>
      <c r="E1" s="1"/>
    </row>
    <row r="3" customFormat="false" ht="15" hidden="false" customHeight="false" outlineLevel="0" collapsed="false">
      <c r="A3" s="7" t="s">
        <v>27</v>
      </c>
      <c r="B3" s="7" t="s">
        <v>180</v>
      </c>
      <c r="C3" s="7" t="s">
        <v>14</v>
      </c>
      <c r="D3" s="7" t="s">
        <v>16</v>
      </c>
      <c r="E3" s="7" t="s">
        <v>18</v>
      </c>
      <c r="F3" s="7" t="s">
        <v>20</v>
      </c>
      <c r="G3" s="7" t="s">
        <v>181</v>
      </c>
      <c r="H3" s="7" t="s">
        <v>182</v>
      </c>
    </row>
    <row r="4" customFormat="false" ht="15" hidden="false" customHeight="false" outlineLevel="0" collapsed="false">
      <c r="A4" s="16" t="s">
        <v>183</v>
      </c>
      <c r="B4" s="17" t="n">
        <f aca="false">COUNTIF('Test Plan'!B5:B100,"1")</f>
        <v>7</v>
      </c>
      <c r="C4" s="17" t="n">
        <f aca="false">COUNTIFS('Test Plan'!B5:B100,"1",'Test Plan'!J5:J100,"Pass")</f>
        <v>0</v>
      </c>
      <c r="D4" s="17" t="n">
        <f aca="false">COUNTIFS('Test Plan'!B5:B100,"1",'Test Plan'!J5:J100,"Fail")</f>
        <v>0</v>
      </c>
      <c r="E4" s="17" t="n">
        <f aca="false">COUNTIFS('Test Plan'!B5:B100,"1",'Test Plan'!J5:J100,"Blocked")</f>
        <v>0</v>
      </c>
      <c r="F4" s="17" t="n">
        <f aca="false">COUNTIFS('Test Plan'!B5:B100,"1",'Test Plan'!J5:J100,"Skipped")</f>
        <v>0</v>
      </c>
      <c r="G4" s="17" t="n">
        <f aca="false">B4-C4-D4-E4-F4</f>
        <v>7</v>
      </c>
      <c r="H4" s="17" t="str">
        <f aca="false">IF(D4&gt;0,"Fails open",IF(G4+E4&gt;0,"In progress",IF(B4=0,"No cases","All clear")))</f>
        <v>In progress</v>
      </c>
    </row>
    <row r="5" customFormat="false" ht="15" hidden="false" customHeight="false" outlineLevel="0" collapsed="false">
      <c r="A5" s="16" t="s">
        <v>184</v>
      </c>
      <c r="B5" s="17" t="n">
        <f aca="false">COUNTIF('Test Plan'!B5:B100,"2")</f>
        <v>10</v>
      </c>
      <c r="C5" s="17" t="n">
        <f aca="false">COUNTIFS('Test Plan'!B5:B100,"2",'Test Plan'!J5:J100,"Pass")</f>
        <v>0</v>
      </c>
      <c r="D5" s="17" t="n">
        <f aca="false">COUNTIFS('Test Plan'!B5:B100,"2",'Test Plan'!J5:J100,"Fail")</f>
        <v>0</v>
      </c>
      <c r="E5" s="17" t="n">
        <f aca="false">COUNTIFS('Test Plan'!B5:B100,"2",'Test Plan'!J5:J100,"Blocked")</f>
        <v>0</v>
      </c>
      <c r="F5" s="17" t="n">
        <f aca="false">COUNTIFS('Test Plan'!B5:B100,"2",'Test Plan'!J5:J100,"Skipped")</f>
        <v>0</v>
      </c>
      <c r="G5" s="17" t="n">
        <f aca="false">B5-C5-D5-E5-F5</f>
        <v>10</v>
      </c>
      <c r="H5" s="17" t="str">
        <f aca="false">IF(D5&gt;0,"Fails open",IF(G5+E5&gt;0,"In progress",IF(B5=0,"No cases","All clear")))</f>
        <v>In progress</v>
      </c>
    </row>
    <row r="6" customFormat="false" ht="15" hidden="false" customHeight="false" outlineLevel="0" collapsed="false">
      <c r="A6" s="16" t="s">
        <v>185</v>
      </c>
      <c r="B6" s="17" t="n">
        <f aca="false">COUNTIF('Test Plan'!B5:B100,"3")</f>
        <v>5</v>
      </c>
      <c r="C6" s="17" t="n">
        <f aca="false">COUNTIFS('Test Plan'!B5:B100,"3",'Test Plan'!J5:J100,"Pass")</f>
        <v>0</v>
      </c>
      <c r="D6" s="17" t="n">
        <f aca="false">COUNTIFS('Test Plan'!B5:B100,"3",'Test Plan'!J5:J100,"Fail")</f>
        <v>0</v>
      </c>
      <c r="E6" s="17" t="n">
        <f aca="false">COUNTIFS('Test Plan'!B5:B100,"3",'Test Plan'!J5:J100,"Blocked")</f>
        <v>0</v>
      </c>
      <c r="F6" s="17" t="n">
        <f aca="false">COUNTIFS('Test Plan'!B5:B100,"3",'Test Plan'!J5:J100,"Skipped")</f>
        <v>0</v>
      </c>
      <c r="G6" s="17" t="n">
        <f aca="false">B6-C6-D6-E6-F6</f>
        <v>5</v>
      </c>
      <c r="H6" s="17" t="str">
        <f aca="false">IF(D6&gt;0,"Fails open",IF(G6+E6&gt;0,"In progress",IF(B6=0,"No cases","All clear")))</f>
        <v>In progress</v>
      </c>
    </row>
    <row r="7" customFormat="false" ht="15" hidden="false" customHeight="false" outlineLevel="0" collapsed="false">
      <c r="A7" s="16" t="s">
        <v>186</v>
      </c>
      <c r="B7" s="17" t="n">
        <f aca="false">COUNTIF('Test Plan'!B5:B100,"4")</f>
        <v>7</v>
      </c>
      <c r="C7" s="17" t="n">
        <f aca="false">COUNTIFS('Test Plan'!B5:B100,"4",'Test Plan'!J5:J100,"Pass")</f>
        <v>0</v>
      </c>
      <c r="D7" s="17" t="n">
        <f aca="false">COUNTIFS('Test Plan'!B5:B100,"4",'Test Plan'!J5:J100,"Fail")</f>
        <v>0</v>
      </c>
      <c r="E7" s="17" t="n">
        <f aca="false">COUNTIFS('Test Plan'!B5:B100,"4",'Test Plan'!J5:J100,"Blocked")</f>
        <v>0</v>
      </c>
      <c r="F7" s="17" t="n">
        <f aca="false">COUNTIFS('Test Plan'!B5:B100,"4",'Test Plan'!J5:J100,"Skipped")</f>
        <v>0</v>
      </c>
      <c r="G7" s="17" t="n">
        <f aca="false">B7-C7-D7-E7-F7</f>
        <v>7</v>
      </c>
      <c r="H7" s="17" t="str">
        <f aca="false">IF(D7&gt;0,"Fails open",IF(G7+E7&gt;0,"In progress",IF(B7=0,"No cases","All clear")))</f>
        <v>In progress</v>
      </c>
    </row>
    <row r="8" customFormat="false" ht="15" hidden="false" customHeight="false" outlineLevel="0" collapsed="false">
      <c r="A8" s="18" t="s">
        <v>180</v>
      </c>
      <c r="B8" s="19" t="n">
        <f aca="false">SUM(B4:B7)</f>
        <v>29</v>
      </c>
      <c r="C8" s="19" t="n">
        <f aca="false">SUM(C4:C7)</f>
        <v>0</v>
      </c>
      <c r="D8" s="19" t="n">
        <f aca="false">SUM(D4:D7)</f>
        <v>0</v>
      </c>
      <c r="E8" s="19" t="n">
        <f aca="false">SUM(E4:E7)</f>
        <v>0</v>
      </c>
      <c r="F8" s="19" t="n">
        <f aca="false">SUM(F4:F7)</f>
        <v>0</v>
      </c>
      <c r="G8" s="19" t="n">
        <f aca="false">SUM(G4:G7)</f>
        <v>29</v>
      </c>
      <c r="H8" s="19" t="str">
        <f aca="false">IF(D8&gt;0,"Fails open",IF(G8+E8&gt;0,"In progress","All clear"))</f>
        <v>In progress</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0"/>
    <col collapsed="false" customWidth="true" hidden="false" outlineLevel="0" max="4" min="4" style="0" width="12"/>
    <col collapsed="false" customWidth="true" hidden="false" outlineLevel="0" max="5" min="5" style="0" width="18"/>
    <col collapsed="false" customWidth="true" hidden="false" outlineLevel="0" max="6" min="6" style="0" width="50"/>
    <col collapsed="false" customWidth="true" hidden="false" outlineLevel="0" max="8" min="7" style="0" width="14"/>
  </cols>
  <sheetData>
    <row r="1" customFormat="false" ht="19.7" hidden="false" customHeight="false" outlineLevel="0" collapsed="false">
      <c r="A1" s="1" t="s">
        <v>187</v>
      </c>
      <c r="B1" s="1"/>
      <c r="C1" s="1"/>
      <c r="D1" s="1"/>
      <c r="E1" s="1"/>
      <c r="F1" s="1"/>
      <c r="G1" s="1"/>
      <c r="H1" s="1"/>
    </row>
    <row r="2" customFormat="false" ht="15" hidden="false" customHeight="true" outlineLevel="0" collapsed="false">
      <c r="A2" s="6" t="s">
        <v>188</v>
      </c>
      <c r="B2" s="6"/>
      <c r="C2" s="6"/>
      <c r="D2" s="6"/>
      <c r="E2" s="6"/>
      <c r="F2" s="6"/>
      <c r="G2" s="6"/>
      <c r="H2" s="6"/>
    </row>
    <row r="4" customFormat="false" ht="27.75" hidden="false" customHeight="true" outlineLevel="0" collapsed="false">
      <c r="A4" s="7" t="s">
        <v>189</v>
      </c>
      <c r="B4" s="7" t="s">
        <v>190</v>
      </c>
      <c r="C4" s="7" t="s">
        <v>191</v>
      </c>
      <c r="D4" s="7" t="s">
        <v>192</v>
      </c>
      <c r="E4" s="7" t="s">
        <v>193</v>
      </c>
      <c r="F4" s="7" t="s">
        <v>194</v>
      </c>
      <c r="G4" s="7" t="s">
        <v>195</v>
      </c>
      <c r="H4" s="7" t="s">
        <v>182</v>
      </c>
    </row>
    <row r="5" customFormat="false" ht="15" hidden="false" customHeight="false" outlineLevel="0" collapsed="false">
      <c r="A5" s="20"/>
      <c r="B5" s="20"/>
      <c r="C5" s="20"/>
      <c r="D5" s="20"/>
      <c r="E5" s="20"/>
      <c r="F5" s="20"/>
      <c r="G5" s="20"/>
      <c r="H5" s="20"/>
    </row>
    <row r="6" customFormat="false" ht="15" hidden="false" customHeight="false" outlineLevel="0" collapsed="false">
      <c r="A6" s="20"/>
      <c r="B6" s="20"/>
      <c r="C6" s="20"/>
      <c r="D6" s="20"/>
      <c r="E6" s="20"/>
      <c r="F6" s="20"/>
      <c r="G6" s="20"/>
      <c r="H6" s="20"/>
    </row>
    <row r="7" customFormat="false" ht="15" hidden="false" customHeight="false" outlineLevel="0" collapsed="false">
      <c r="A7" s="20"/>
      <c r="B7" s="20"/>
      <c r="C7" s="20"/>
      <c r="D7" s="20"/>
      <c r="E7" s="20"/>
      <c r="F7" s="20"/>
      <c r="G7" s="20"/>
      <c r="H7" s="20"/>
    </row>
    <row r="8" customFormat="false" ht="15" hidden="false" customHeight="false" outlineLevel="0" collapsed="false">
      <c r="A8" s="20"/>
      <c r="B8" s="20"/>
      <c r="C8" s="20"/>
      <c r="D8" s="20"/>
      <c r="E8" s="20"/>
      <c r="F8" s="20"/>
      <c r="G8" s="20"/>
      <c r="H8" s="20"/>
    </row>
    <row r="9" customFormat="false" ht="15" hidden="false" customHeight="false" outlineLevel="0" collapsed="false">
      <c r="A9" s="20"/>
      <c r="B9" s="20"/>
      <c r="C9" s="20"/>
      <c r="D9" s="20"/>
      <c r="E9" s="20"/>
      <c r="F9" s="20"/>
      <c r="G9" s="20"/>
      <c r="H9" s="20"/>
    </row>
    <row r="10" customFormat="false" ht="15" hidden="false" customHeight="false" outlineLevel="0" collapsed="false">
      <c r="A10" s="20"/>
      <c r="B10" s="20"/>
      <c r="C10" s="20"/>
      <c r="D10" s="20"/>
      <c r="E10" s="20"/>
      <c r="F10" s="20"/>
      <c r="G10" s="20"/>
      <c r="H10" s="20"/>
    </row>
    <row r="11" customFormat="false" ht="15" hidden="false" customHeight="false" outlineLevel="0" collapsed="false">
      <c r="A11" s="20"/>
      <c r="B11" s="20"/>
      <c r="C11" s="20"/>
      <c r="D11" s="20"/>
      <c r="E11" s="20"/>
      <c r="F11" s="20"/>
      <c r="G11" s="20"/>
      <c r="H11" s="20"/>
    </row>
    <row r="12" customFormat="false" ht="15" hidden="false" customHeight="false" outlineLevel="0" collapsed="false">
      <c r="A12" s="20"/>
      <c r="B12" s="20"/>
      <c r="C12" s="20"/>
      <c r="D12" s="20"/>
      <c r="E12" s="20"/>
      <c r="F12" s="20"/>
      <c r="G12" s="20"/>
      <c r="H12" s="20"/>
    </row>
    <row r="13" customFormat="false" ht="15" hidden="false" customHeight="false" outlineLevel="0" collapsed="false">
      <c r="A13" s="20"/>
      <c r="B13" s="20"/>
      <c r="C13" s="20"/>
      <c r="D13" s="20"/>
      <c r="E13" s="20"/>
      <c r="F13" s="20"/>
      <c r="G13" s="20"/>
      <c r="H13" s="20"/>
    </row>
    <row r="14" customFormat="false" ht="15" hidden="false" customHeight="false" outlineLevel="0" collapsed="false">
      <c r="A14" s="20"/>
      <c r="B14" s="20"/>
      <c r="C14" s="20"/>
      <c r="D14" s="20"/>
      <c r="E14" s="20"/>
      <c r="F14" s="20"/>
      <c r="G14" s="20"/>
      <c r="H14" s="20"/>
    </row>
    <row r="15" customFormat="false" ht="15" hidden="false" customHeight="false" outlineLevel="0" collapsed="false">
      <c r="A15" s="20"/>
      <c r="B15" s="20"/>
      <c r="C15" s="20"/>
      <c r="D15" s="20"/>
      <c r="E15" s="20"/>
      <c r="F15" s="20"/>
      <c r="G15" s="20"/>
      <c r="H15" s="20"/>
    </row>
    <row r="16" customFormat="false" ht="15" hidden="false" customHeight="false" outlineLevel="0" collapsed="false">
      <c r="A16" s="20"/>
      <c r="B16" s="20"/>
      <c r="C16" s="20"/>
      <c r="D16" s="20"/>
      <c r="E16" s="20"/>
      <c r="F16" s="20"/>
      <c r="G16" s="20"/>
      <c r="H16" s="20"/>
    </row>
    <row r="17" customFormat="false" ht="15" hidden="false" customHeight="false" outlineLevel="0" collapsed="false">
      <c r="A17" s="20"/>
      <c r="B17" s="20"/>
      <c r="C17" s="20"/>
      <c r="D17" s="20"/>
      <c r="E17" s="20"/>
      <c r="F17" s="20"/>
      <c r="G17" s="20"/>
      <c r="H17" s="20"/>
    </row>
    <row r="18" customFormat="false" ht="15" hidden="false" customHeight="false" outlineLevel="0" collapsed="false">
      <c r="A18" s="20"/>
      <c r="B18" s="20"/>
      <c r="C18" s="20"/>
      <c r="D18" s="20"/>
      <c r="E18" s="20"/>
      <c r="F18" s="20"/>
      <c r="G18" s="20"/>
      <c r="H18" s="20"/>
    </row>
    <row r="19" customFormat="false" ht="15" hidden="false" customHeight="false" outlineLevel="0" collapsed="false">
      <c r="A19" s="20"/>
      <c r="B19" s="20"/>
      <c r="C19" s="20"/>
      <c r="D19" s="20"/>
      <c r="E19" s="20"/>
      <c r="F19" s="20"/>
      <c r="G19" s="20"/>
      <c r="H19" s="20"/>
    </row>
    <row r="20" customFormat="false" ht="15" hidden="false" customHeight="false" outlineLevel="0" collapsed="false">
      <c r="A20" s="20"/>
      <c r="B20" s="20"/>
      <c r="C20" s="20"/>
      <c r="D20" s="20"/>
      <c r="E20" s="20"/>
      <c r="F20" s="20"/>
      <c r="G20" s="20"/>
      <c r="H20" s="20"/>
    </row>
    <row r="21" customFormat="false" ht="15" hidden="false" customHeight="false" outlineLevel="0" collapsed="false">
      <c r="A21" s="20"/>
      <c r="B21" s="20"/>
      <c r="C21" s="20"/>
      <c r="D21" s="20"/>
      <c r="E21" s="20"/>
      <c r="F21" s="20"/>
      <c r="G21" s="20"/>
      <c r="H21" s="20"/>
    </row>
    <row r="22" customFormat="false" ht="15" hidden="false" customHeight="false" outlineLevel="0" collapsed="false">
      <c r="A22" s="20"/>
      <c r="B22" s="20"/>
      <c r="C22" s="20"/>
      <c r="D22" s="20"/>
      <c r="E22" s="20"/>
      <c r="F22" s="20"/>
      <c r="G22" s="20"/>
      <c r="H22" s="20"/>
    </row>
    <row r="23" customFormat="false" ht="15" hidden="false" customHeight="false" outlineLevel="0" collapsed="false">
      <c r="A23" s="20"/>
      <c r="B23" s="20"/>
      <c r="C23" s="20"/>
      <c r="D23" s="20"/>
      <c r="E23" s="20"/>
      <c r="F23" s="20"/>
      <c r="G23" s="20"/>
      <c r="H23" s="20"/>
    </row>
    <row r="24" customFormat="false" ht="15" hidden="false" customHeight="false" outlineLevel="0" collapsed="false">
      <c r="A24" s="20"/>
      <c r="B24" s="20"/>
      <c r="C24" s="20"/>
      <c r="D24" s="20"/>
      <c r="E24" s="20"/>
      <c r="F24" s="20"/>
      <c r="G24" s="20"/>
      <c r="H24" s="20"/>
    </row>
  </sheetData>
  <mergeCells count="2">
    <mergeCell ref="A1:H1"/>
    <mergeCell ref="A2:H2"/>
  </mergeCells>
  <conditionalFormatting sqref="E5:E25">
    <cfRule type="cellIs" priority="2" operator="equal" aboveAverage="0" equalAverage="0" bottom="0" percent="0" rank="0" text="" dxfId="1">
      <formula>"Sev 1 blocker"</formula>
    </cfRule>
    <cfRule type="cellIs" priority="3" operator="equal" aboveAverage="0" equalAverage="0" bottom="0" percent="0" rank="0" text="" dxfId="4">
      <formula>"Sev 2 high"</formula>
    </cfRule>
    <cfRule type="cellIs" priority="4" operator="equal" aboveAverage="0" equalAverage="0" bottom="0" percent="0" rank="0" text="" dxfId="2">
      <formula>"Sev 3 medium"</formula>
    </cfRule>
    <cfRule type="cellIs" priority="5" operator="equal" aboveAverage="0" equalAverage="0" bottom="0" percent="0" rank="0" text="" dxfId="3">
      <formula>"Sev 4 low"</formula>
    </cfRule>
  </conditionalFormatting>
  <conditionalFormatting sqref="H5:H25">
    <cfRule type="cellIs" priority="6" operator="equal" aboveAverage="0" equalAverage="0" bottom="0" percent="0" rank="0" text="" dxfId="0">
      <formula>"Verified"</formula>
    </cfRule>
    <cfRule type="cellIs" priority="7" operator="equal" aboveAverage="0" equalAverage="0" bottom="0" percent="0" rank="0" text="" dxfId="5">
      <formula>"Fixed"</formula>
    </cfRule>
    <cfRule type="cellIs" priority="8" operator="equal" aboveAverage="0" equalAverage="0" bottom="0" percent="0" rank="0" text="" dxfId="1">
      <formula>"Open"</formula>
    </cfRule>
    <cfRule type="cellIs" priority="9" operator="equal" aboveAverage="0" equalAverage="0" bottom="0" percent="0" rank="0" text="" dxfId="2">
      <formula>"In progress"</formula>
    </cfRule>
  </conditionalFormatting>
  <dataValidations count="2">
    <dataValidation allowBlank="true" errorStyle="stop" operator="between" showDropDown="false" showErrorMessage="false" showInputMessage="false" sqref="E5:E25" type="list">
      <formula1>"Sev 1 blocker,Sev 2 high,Sev 3 medium,Sev 4 low"</formula1>
      <formula2>0</formula2>
    </dataValidation>
    <dataValidation allowBlank="true" errorStyle="stop" operator="between" showDropDown="false" showErrorMessage="false" showInputMessage="false" sqref="H5:H25" type="list">
      <formula1>"Open,In progress,Fixed,Verified,Wontfix"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3" min="2" style="0" width="18"/>
    <col collapsed="false" customWidth="true" hidden="false" outlineLevel="0" max="4" min="4" style="0" width="36"/>
  </cols>
  <sheetData>
    <row r="1" customFormat="false" ht="19.7" hidden="false" customHeight="false" outlineLevel="0" collapsed="false">
      <c r="A1" s="1" t="s">
        <v>196</v>
      </c>
      <c r="B1" s="1"/>
      <c r="C1" s="1"/>
      <c r="D1" s="1"/>
    </row>
    <row r="2" customFormat="false" ht="15" hidden="false" customHeight="true" outlineLevel="0" collapsed="false">
      <c r="A2" s="6" t="s">
        <v>197</v>
      </c>
      <c r="B2" s="6"/>
      <c r="C2" s="6"/>
      <c r="D2" s="6"/>
    </row>
    <row r="4" customFormat="false" ht="15" hidden="false" customHeight="false" outlineLevel="0" collapsed="false">
      <c r="A4" s="7" t="s">
        <v>198</v>
      </c>
      <c r="B4" s="7" t="s">
        <v>199</v>
      </c>
      <c r="C4" s="7" t="s">
        <v>200</v>
      </c>
      <c r="D4" s="7" t="s">
        <v>201</v>
      </c>
    </row>
    <row r="5" customFormat="false" ht="15" hidden="false" customHeight="false" outlineLevel="0" collapsed="false">
      <c r="A5" s="21" t="s">
        <v>202</v>
      </c>
      <c r="B5" s="17" t="str">
        <f aca="false">Summary!H4</f>
        <v>In progress</v>
      </c>
      <c r="C5" s="17"/>
      <c r="D5" s="21"/>
    </row>
    <row r="6" customFormat="false" ht="15" hidden="false" customHeight="false" outlineLevel="0" collapsed="false">
      <c r="A6" s="21" t="s">
        <v>203</v>
      </c>
      <c r="B6" s="17" t="str">
        <f aca="false">Summary!H5</f>
        <v>In progress</v>
      </c>
      <c r="C6" s="17"/>
      <c r="D6" s="21"/>
    </row>
    <row r="7" customFormat="false" ht="15" hidden="false" customHeight="false" outlineLevel="0" collapsed="false">
      <c r="A7" s="21" t="s">
        <v>204</v>
      </c>
      <c r="B7" s="17" t="str">
        <f aca="false">Summary!H6</f>
        <v>In progress</v>
      </c>
      <c r="C7" s="17"/>
      <c r="D7" s="21"/>
    </row>
    <row r="8" customFormat="false" ht="15" hidden="false" customHeight="false" outlineLevel="0" collapsed="false">
      <c r="A8" s="21" t="s">
        <v>205</v>
      </c>
      <c r="B8" s="17" t="str">
        <f aca="false">Summary!H7</f>
        <v>In progress</v>
      </c>
      <c r="C8" s="17"/>
      <c r="D8" s="21"/>
    </row>
    <row r="9" customFormat="false" ht="15" hidden="false" customHeight="false" outlineLevel="0" collapsed="false">
      <c r="A9" s="21" t="s">
        <v>206</v>
      </c>
      <c r="B9" s="17" t="str">
        <f aca="false">IF(COUNTIFS(Bugs!E5:E100,"Sev 1 blocker",Bugs!H5:H100,"&lt;&gt;Verified",Bugs!H5:H100,"&lt;&gt;Wontfix")=0,"Clear","Blocked")</f>
        <v>Clear</v>
      </c>
      <c r="C9" s="17"/>
      <c r="D9" s="21"/>
    </row>
    <row r="10" customFormat="false" ht="15" hidden="false" customHeight="false" outlineLevel="0" collapsed="false">
      <c r="A10" s="21" t="s">
        <v>207</v>
      </c>
      <c r="B10" s="17" t="str">
        <f aca="false">IF(COUNTIFS(Bugs!E5:E100,"Sev 2 high",Bugs!H5:H100,"&lt;&gt;Verified",Bugs!H5:H100,"&lt;&gt;Wontfix")=0,"Clear","Blocked")</f>
        <v>Clear</v>
      </c>
      <c r="C10" s="17"/>
      <c r="D10" s="21"/>
    </row>
    <row r="11" customFormat="false" ht="15" hidden="false" customHeight="false" outlineLevel="0" collapsed="false">
      <c r="A11" s="21" t="s">
        <v>208</v>
      </c>
      <c r="B11" s="17"/>
      <c r="C11" s="17"/>
      <c r="D11" s="21"/>
    </row>
    <row r="12" customFormat="false" ht="15" hidden="false" customHeight="false" outlineLevel="0" collapsed="false">
      <c r="A12" s="21" t="s">
        <v>209</v>
      </c>
      <c r="B12" s="17"/>
      <c r="C12" s="17"/>
      <c r="D12" s="21"/>
    </row>
    <row r="13" customFormat="false" ht="15" hidden="false" customHeight="false" outlineLevel="0" collapsed="false">
      <c r="A13" s="21" t="s">
        <v>210</v>
      </c>
      <c r="B13" s="17"/>
      <c r="C13" s="17"/>
      <c r="D13" s="21"/>
    </row>
    <row r="14" customFormat="false" ht="15" hidden="false" customHeight="false" outlineLevel="0" collapsed="false">
      <c r="A14" s="21" t="s">
        <v>211</v>
      </c>
      <c r="B14" s="17"/>
      <c r="C14" s="17"/>
      <c r="D14" s="21"/>
    </row>
    <row r="16" customFormat="false" ht="15" hidden="false" customHeight="false" outlineLevel="0" collapsed="false">
      <c r="A16" s="22" t="s">
        <v>212</v>
      </c>
      <c r="B16" s="23" t="str">
        <f aca="false">IF(AND(COUNTIF(C5:C14,"Approved")+COUNTIF(C5:C14,"Waived")=10),"GO","NO GO YET")</f>
        <v>NO GO YET</v>
      </c>
    </row>
  </sheetData>
  <mergeCells count="2">
    <mergeCell ref="A1:D1"/>
    <mergeCell ref="A2:D2"/>
  </mergeCells>
  <conditionalFormatting sqref="C5:C14">
    <cfRule type="cellIs" priority="2" operator="equal" aboveAverage="0" equalAverage="0" bottom="0" percent="0" rank="0" text="" dxfId="0">
      <formula>"Approved"</formula>
    </cfRule>
    <cfRule type="cellIs" priority="3" operator="equal" aboveAverage="0" equalAverage="0" bottom="0" percent="0" rank="0" text="" dxfId="2">
      <formula>"Pending"</formula>
    </cfRule>
    <cfRule type="cellIs" priority="4" operator="equal" aboveAverage="0" equalAverage="0" bottom="0" percent="0" rank="0" text="" dxfId="3">
      <formula>"Waived"</formula>
    </cfRule>
  </conditionalFormatting>
  <conditionalFormatting sqref="B5:B14">
    <cfRule type="cellIs" priority="5" operator="equal" aboveAverage="0" equalAverage="0" bottom="0" percent="0" rank="0" text="" dxfId="0">
      <formula>"All clear"</formula>
    </cfRule>
    <cfRule type="cellIs" priority="6" operator="equal" aboveAverage="0" equalAverage="0" bottom="0" percent="0" rank="0" text="" dxfId="0">
      <formula>"Clear"</formula>
    </cfRule>
    <cfRule type="cellIs" priority="7" operator="equal" aboveAverage="0" equalAverage="0" bottom="0" percent="0" rank="0" text="" dxfId="1">
      <formula>"Fails open"</formula>
    </cfRule>
    <cfRule type="cellIs" priority="8" operator="equal" aboveAverage="0" equalAverage="0" bottom="0" percent="0" rank="0" text="" dxfId="1">
      <formula>"Blocked"</formula>
    </cfRule>
    <cfRule type="cellIs" priority="9" operator="equal" aboveAverage="0" equalAverage="0" bottom="0" percent="0" rank="0" text="" dxfId="2">
      <formula>"In progress"</formula>
    </cfRule>
  </conditionalFormatting>
  <conditionalFormatting sqref="B16">
    <cfRule type="cellIs" priority="10" operator="equal" aboveAverage="0" equalAverage="0" bottom="0" percent="0" rank="0" text="" dxfId="0">
      <formula>"GO"</formula>
    </cfRule>
    <cfRule type="cellIs" priority="11" operator="equal" aboveAverage="0" equalAverage="0" bottom="0" percent="0" rank="0" text="" dxfId="1">
      <formula>"NO GO YET"</formula>
    </cfRule>
  </conditionalFormatting>
  <dataValidations count="1">
    <dataValidation allowBlank="true" errorStyle="stop" operator="between" showDropDown="false" showErrorMessage="false" showInputMessage="false" sqref="C5:C14" type="list">
      <formula1>"Approved,Pending,Waived"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2026-06-01T04:08:58Z</dcterms:created>
  <dc:creator>openpyxl</dc:creator>
  <dc:description/>
  <dc:language>en-US</dc:language>
  <cp:lastModifiedBy/>
  <dcterms:modified xsi:type="dcterms:W3CDTF">2026-06-01T04:08:58Z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